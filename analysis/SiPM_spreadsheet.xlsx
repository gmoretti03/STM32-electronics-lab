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<sst xmlns="http://schemas.openxmlformats.org/spreadsheetml/2006/main" count="17" uniqueCount="16">
  <si>
    <t>Prima acquisizione</t>
  </si>
  <si>
    <t>Tempo acquisizioni (ms)</t>
  </si>
  <si>
    <t>Rate (ac/ms)</t>
  </si>
  <si>
    <t>Tensioni</t>
  </si>
  <si>
    <t>Overvoltage (V) : x</t>
  </si>
  <si>
    <t>Ampiezza (mV): y</t>
  </si>
  <si>
    <t>Errore_ampiezza (mV)</t>
  </si>
  <si>
    <t>Gain-&gt; quanti elettroni vengono liberati dalla valanga</t>
  </si>
  <si>
    <t>Tensione -&gt; corrente (resistenza del primo stadio)</t>
  </si>
  <si>
    <t>Integrare nel tempo -&gt; moltiplicare per il tau</t>
  </si>
  <si>
    <t>Dividere per la carica dell'elettrone</t>
  </si>
  <si>
    <t xml:space="preserve">Media rate </t>
  </si>
  <si>
    <t>Deviazione standard</t>
  </si>
  <si>
    <t>Frequenza (kHz)</t>
  </si>
  <si>
    <t>Errore</t>
  </si>
  <si>
    <t>vedere data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</si>
</sst>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2D1D5"/>
        <bgColor rgb="FFA2D1D5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Overvoltage, grafico 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Foglio1!$G$3:$G$7</c:f>
            </c:numRef>
          </c:xVal>
          <c:yVal>
            <c:numRef>
              <c:f>Foglio1!$H$3:$H$7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654305"/>
        <c:axId val="745664042"/>
      </c:scatterChart>
      <c:valAx>
        <c:axId val="8036543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5664042"/>
      </c:valAx>
      <c:valAx>
        <c:axId val="745664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36543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466725</xdr:colOff>
      <xdr:row>7</xdr:row>
      <xdr:rowOff>95250</xdr:rowOff>
    </xdr:from>
    <xdr:ext cx="5715000" cy="353377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3.13"/>
    <col customWidth="1" min="3" max="3" width="18.0"/>
    <col customWidth="1" min="4" max="4" width="14.88"/>
    <col customWidth="1" min="6" max="6" width="14.13"/>
    <col customWidth="1" min="7" max="7" width="17.75"/>
    <col customWidth="1" min="8" max="8" width="14.13"/>
    <col customWidth="1" min="9" max="9" width="17.75"/>
    <col customWidth="1" min="10" max="10" width="40.0"/>
  </cols>
  <sheetData>
    <row r="1">
      <c r="A1" s="1" t="s">
        <v>0</v>
      </c>
    </row>
    <row r="2">
      <c r="A2" s="2" t="s">
        <v>1</v>
      </c>
      <c r="B2" s="2" t="s">
        <v>2</v>
      </c>
      <c r="D2" s="2" t="s">
        <v>3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>
      <c r="A3" s="2">
        <v>19.2362</v>
      </c>
      <c r="B3" s="4">
        <f t="shared" ref="B3:B5" si="1">A3/1000</f>
        <v>0.0192362</v>
      </c>
      <c r="C3" s="4">
        <f t="shared" ref="C3:C5" si="2">1/B3</f>
        <v>51.98531935</v>
      </c>
      <c r="D3" s="4">
        <f>53.2</f>
        <v>53.2</v>
      </c>
      <c r="F3" s="2">
        <v>52.2</v>
      </c>
      <c r="G3" s="4">
        <f t="shared" ref="G3:G7" si="3">F3-51.2</f>
        <v>1</v>
      </c>
      <c r="H3" s="2">
        <v>1.5949</v>
      </c>
      <c r="I3" s="2">
        <v>0.25168</v>
      </c>
      <c r="J3" s="3" t="s">
        <v>8</v>
      </c>
    </row>
    <row r="4">
      <c r="A4" s="2">
        <v>16.8365</v>
      </c>
      <c r="B4" s="4">
        <f t="shared" si="1"/>
        <v>0.0168365</v>
      </c>
      <c r="C4" s="4">
        <f t="shared" si="2"/>
        <v>59.39476732</v>
      </c>
      <c r="D4" s="4">
        <f t="shared" ref="D4:D5" si="4">D3+1</f>
        <v>54.2</v>
      </c>
      <c r="F4" s="4">
        <f t="shared" ref="F4:F7" si="5">F3+1</f>
        <v>53.2</v>
      </c>
      <c r="G4" s="4">
        <f t="shared" si="3"/>
        <v>2</v>
      </c>
      <c r="H4" s="2">
        <v>3.0783</v>
      </c>
      <c r="I4" s="2">
        <v>0.51165</v>
      </c>
      <c r="J4" s="5" t="s">
        <v>9</v>
      </c>
    </row>
    <row r="5">
      <c r="A5" s="2">
        <v>15.7519</v>
      </c>
      <c r="B5" s="4">
        <f t="shared" si="1"/>
        <v>0.0157519</v>
      </c>
      <c r="C5" s="4">
        <f t="shared" si="2"/>
        <v>63.48440506</v>
      </c>
      <c r="D5" s="4">
        <f t="shared" si="4"/>
        <v>55.2</v>
      </c>
      <c r="F5" s="4">
        <f t="shared" si="5"/>
        <v>54.2</v>
      </c>
      <c r="G5" s="4">
        <f t="shared" si="3"/>
        <v>3</v>
      </c>
      <c r="H5" s="2">
        <v>4.6853</v>
      </c>
      <c r="I5" s="2">
        <v>0.96256</v>
      </c>
      <c r="J5" s="5" t="s">
        <v>10</v>
      </c>
    </row>
    <row r="6">
      <c r="A6" s="2" t="s">
        <v>11</v>
      </c>
      <c r="B6" s="2" t="s">
        <v>12</v>
      </c>
      <c r="F6" s="4">
        <f t="shared" si="5"/>
        <v>55.2</v>
      </c>
      <c r="G6" s="4">
        <f t="shared" si="3"/>
        <v>4</v>
      </c>
      <c r="H6" s="2">
        <v>6.5465</v>
      </c>
      <c r="I6" s="2">
        <v>1.617</v>
      </c>
    </row>
    <row r="7">
      <c r="A7" s="4">
        <f>AVERAGE(B3:B5)</f>
        <v>0.01727486667</v>
      </c>
      <c r="B7" s="4">
        <f>STDEV(B3:B5)</f>
        <v>0.001783034106</v>
      </c>
      <c r="F7" s="4">
        <f t="shared" si="5"/>
        <v>56.2</v>
      </c>
      <c r="G7" s="4">
        <f t="shared" si="3"/>
        <v>5</v>
      </c>
      <c r="H7" s="2">
        <v>8.3216</v>
      </c>
      <c r="I7" s="2">
        <v>2.5923</v>
      </c>
    </row>
    <row r="8">
      <c r="A8" s="2" t="s">
        <v>13</v>
      </c>
      <c r="B8" s="2" t="s">
        <v>14</v>
      </c>
    </row>
    <row r="9">
      <c r="A9" s="4">
        <f> 1/A7</f>
        <v>57.88756691</v>
      </c>
      <c r="B9" s="4">
        <f> B7/A7^2</f>
        <v>5.974894516</v>
      </c>
      <c r="D9" s="2" t="s">
        <v>15</v>
      </c>
    </row>
  </sheetData>
  <drawing r:id="rId1"/>
</worksheet>
</file>