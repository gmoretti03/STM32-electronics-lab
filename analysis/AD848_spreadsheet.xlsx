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<sst xmlns="http://schemas.openxmlformats.org/spreadsheetml/2006/main" count="25" uniqueCount="15">
  <si>
    <t>AD848</t>
  </si>
  <si>
    <t>DATI</t>
  </si>
  <si>
    <t>GRADINO</t>
  </si>
  <si>
    <t>R1 (kOhm)</t>
  </si>
  <si>
    <t>R2 (kOhm)</t>
  </si>
  <si>
    <t>Guadagno</t>
  </si>
  <si>
    <t>Bandwidth (MHz)</t>
  </si>
  <si>
    <t>Amplitude 1 (mV)</t>
  </si>
  <si>
    <t>Amplitude 2 (mV)</t>
  </si>
  <si>
    <t>Stima</t>
  </si>
  <si>
    <t>Rise time (ns)</t>
  </si>
  <si>
    <t>Non Invert.</t>
  </si>
  <si>
    <t>FFT</t>
  </si>
  <si>
    <t>SINUSOIDE</t>
  </si>
  <si>
    <t>Frequenza taglio (MHz)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</si>
</sst>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"/>
  </numFmts>
  <fonts count="7">
    <font>
      <sz val="10.0"/>
      <color rgb="FF000000"/>
      <name val="Arial"/>
      <scheme val="minor"/>
    </font>
    <font>
      <b/>
      <i/>
      <color theme="1"/>
      <name val="Arial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textRotation="90" vertical="center"/>
    </xf>
    <xf borderId="7" fillId="2" fontId="4" numFmtId="164" xfId="0" applyAlignment="1" applyBorder="1" applyFill="1" applyFont="1" applyNumberFormat="1">
      <alignment readingOrder="0" vertical="bottom"/>
    </xf>
    <xf borderId="0" fillId="2" fontId="4" numFmtId="164" xfId="0" applyAlignment="1" applyFill="1" applyFont="1" applyNumberFormat="1">
      <alignment readingOrder="0" vertical="bottom"/>
    </xf>
    <xf borderId="0" fillId="0" fontId="4" numFmtId="0" xfId="0" applyAlignment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7" fillId="2" fontId="6" numFmtId="0" xfId="0" applyAlignment="1" applyBorder="1" applyFill="1" applyFont="1">
      <alignment readingOrder="0"/>
    </xf>
    <xf borderId="0" fillId="2" fontId="6" numFmtId="0" xfId="0" applyAlignment="1" applyFill="1" applyFont="1">
      <alignment readingOrder="0"/>
    </xf>
    <xf borderId="0" fillId="3" fontId="4" numFmtId="0" xfId="0" applyAlignment="1" applyFill="1" applyFont="1">
      <alignment vertical="bottom"/>
    </xf>
    <xf borderId="0" fillId="3" fontId="4" numFmtId="10" xfId="0" applyAlignment="1" applyFill="1" applyFont="1" applyNumberFormat="1">
      <alignment readingOrder="0" vertical="bottom"/>
    </xf>
    <xf borderId="0" fillId="2" fontId="4" numFmtId="0" xfId="0" applyAlignment="1" applyFill="1" applyFont="1">
      <alignment readingOrder="0" vertical="bottom"/>
    </xf>
    <xf borderId="8" fillId="3" fontId="4" numFmtId="10" xfId="0" applyAlignment="1" applyBorder="1" applyFill="1" applyFont="1" applyNumberFormat="1">
      <alignment readingOrder="0" vertical="bottom"/>
    </xf>
    <xf borderId="7" fillId="2" fontId="4" numFmtId="0" xfId="0" applyAlignment="1" applyBorder="1" applyFill="1" applyFont="1">
      <alignment readingOrder="0" vertical="bottom"/>
    </xf>
    <xf borderId="9" fillId="2" fontId="4" numFmtId="0" xfId="0" applyAlignment="1" applyBorder="1" applyFill="1" applyFont="1">
      <alignment readingOrder="0" vertical="bottom"/>
    </xf>
    <xf borderId="10" fillId="2" fontId="4" numFmtId="0" xfId="0" applyAlignment="1" applyBorder="1" applyFill="1" applyFont="1">
      <alignment readingOrder="0" vertical="bottom"/>
    </xf>
    <xf borderId="10" fillId="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 vertical="bottom"/>
    </xf>
    <xf borderId="9" fillId="2" fontId="6" numFmtId="0" xfId="0" applyAlignment="1" applyBorder="1" applyFill="1" applyFont="1">
      <alignment readingOrder="0"/>
    </xf>
    <xf borderId="10" fillId="2" fontId="6" numFmtId="0" xfId="0" applyAlignment="1" applyBorder="1" applyFill="1" applyFont="1">
      <alignment readingOrder="0"/>
    </xf>
    <xf borderId="10" fillId="3" fontId="4" numFmtId="0" xfId="0" applyAlignment="1" applyBorder="1" applyFill="1" applyFont="1">
      <alignment vertical="bottom"/>
    </xf>
    <xf borderId="11" fillId="3" fontId="4" numFmtId="10" xfId="0" applyAlignment="1" applyBorder="1" applyFill="1" applyFont="1" applyNumberForma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0" fillId="3" fontId="4" numFmtId="10" xfId="0" applyAlignment="1" applyBorder="1" applyFill="1" applyFont="1" applyNumberFormat="1">
      <alignment readingOrder="0" vertical="bottom"/>
    </xf>
    <xf borderId="0" fillId="3" fontId="4" numFmtId="10" xfId="0" applyAlignment="1" applyFill="1" applyFont="1" applyNumberFormat="1">
      <alignment vertical="bottom"/>
    </xf>
    <xf borderId="0" fillId="0" fontId="6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5" max="5" width="14.5"/>
    <col customWidth="1" min="6" max="7" width="14.75"/>
    <col customWidth="1" min="8" max="8" width="14.5"/>
    <col customWidth="1" min="9" max="15" width="19.25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3"/>
      <c r="J1" s="3"/>
      <c r="K1" s="3"/>
      <c r="L1" s="4"/>
      <c r="M1" s="5"/>
    </row>
    <row r="2">
      <c r="A2" s="6"/>
      <c r="B2" s="7" t="s">
        <v>3</v>
      </c>
      <c r="C2" s="8" t="s">
        <v>4</v>
      </c>
      <c r="D2" s="8" t="s">
        <v>5</v>
      </c>
      <c r="E2" s="9" t="s">
        <v>6</v>
      </c>
      <c r="F2" s="10" t="s">
        <v>7</v>
      </c>
      <c r="G2" s="11" t="s">
        <v>8</v>
      </c>
      <c r="H2" s="8" t="s">
        <v>5</v>
      </c>
      <c r="I2" s="12" t="s">
        <v>9</v>
      </c>
      <c r="J2" s="12" t="s">
        <v>10</v>
      </c>
      <c r="K2" s="8" t="s">
        <v>6</v>
      </c>
      <c r="L2" s="13" t="s">
        <v>9</v>
      </c>
    </row>
    <row r="3">
      <c r="A3" s="14" t="s">
        <v>11</v>
      </c>
      <c r="B3" s="15">
        <v>0.008333333333333333</v>
      </c>
      <c r="C3" s="16">
        <v>0.027083333333333334</v>
      </c>
      <c r="D3" s="17">
        <f t="shared" ref="D3:D6" si="1">C3/B3+1</f>
        <v>4.25</v>
      </c>
      <c r="E3" s="18">
        <f t="shared" ref="E3:E6" si="2">175/D3</f>
        <v>41.17647059</v>
      </c>
      <c r="F3" s="19">
        <v>326.09</v>
      </c>
      <c r="G3" s="20">
        <f>1.3755*1000</f>
        <v>1375.5</v>
      </c>
      <c r="H3" s="21">
        <f>G3/$F$3</f>
        <v>4.218160631</v>
      </c>
      <c r="I3" s="22">
        <f t="shared" ref="I3:I6" si="3">H3/D3</f>
        <v>0.9925083836</v>
      </c>
      <c r="J3" s="23">
        <v>16.179</v>
      </c>
      <c r="K3" s="17">
        <f t="shared" ref="K3:K6" si="4">0.35/J3*1000</f>
        <v>21.63298102</v>
      </c>
      <c r="L3" s="24">
        <f t="shared" ref="L3:L6" si="5">K3/E3</f>
        <v>0.5253723963</v>
      </c>
    </row>
    <row r="4">
      <c r="B4" s="25">
        <v>0.12</v>
      </c>
      <c r="C4" s="23">
        <v>1.2</v>
      </c>
      <c r="D4" s="17">
        <f t="shared" si="1"/>
        <v>11</v>
      </c>
      <c r="E4" s="18">
        <f t="shared" si="2"/>
        <v>15.90909091</v>
      </c>
      <c r="F4" s="19">
        <v>49.407</v>
      </c>
      <c r="G4" s="20">
        <v>533.6</v>
      </c>
      <c r="H4" s="21">
        <f t="shared" ref="H4:H6" si="6">G4/F4</f>
        <v>10.80008906</v>
      </c>
      <c r="I4" s="22">
        <f t="shared" si="3"/>
        <v>0.9818262778</v>
      </c>
      <c r="J4" s="23">
        <v>29.127</v>
      </c>
      <c r="K4" s="17">
        <f t="shared" si="4"/>
        <v>12.01634223</v>
      </c>
      <c r="L4" s="24">
        <f t="shared" si="5"/>
        <v>0.7553129399</v>
      </c>
    </row>
    <row r="5">
      <c r="B5" s="25">
        <v>0.12</v>
      </c>
      <c r="C5" s="23">
        <v>3.3</v>
      </c>
      <c r="D5" s="17">
        <f t="shared" si="1"/>
        <v>28.5</v>
      </c>
      <c r="E5" s="18">
        <f t="shared" si="2"/>
        <v>6.140350877</v>
      </c>
      <c r="F5" s="19">
        <v>49.406</v>
      </c>
      <c r="G5" s="20">
        <v>1391.3</v>
      </c>
      <c r="H5" s="21">
        <f t="shared" si="6"/>
        <v>28.1605473</v>
      </c>
      <c r="I5" s="22">
        <f t="shared" si="3"/>
        <v>0.988089379</v>
      </c>
      <c r="J5" s="23">
        <v>65.756</v>
      </c>
      <c r="K5" s="17">
        <f t="shared" si="4"/>
        <v>5.322708194</v>
      </c>
      <c r="L5" s="24">
        <f t="shared" si="5"/>
        <v>0.8668410487</v>
      </c>
    </row>
    <row r="6">
      <c r="B6" s="26">
        <v>0.12</v>
      </c>
      <c r="C6" s="27">
        <v>6.8</v>
      </c>
      <c r="D6" s="28">
        <f t="shared" si="1"/>
        <v>57.66666667</v>
      </c>
      <c r="E6" s="29">
        <f t="shared" si="2"/>
        <v>3.034682081</v>
      </c>
      <c r="F6" s="30">
        <v>20.134</v>
      </c>
      <c r="G6" s="31">
        <v>1138.3</v>
      </c>
      <c r="H6" s="32">
        <f t="shared" si="6"/>
        <v>56.53620741</v>
      </c>
      <c r="I6" s="22">
        <f t="shared" si="3"/>
        <v>0.9803966603</v>
      </c>
      <c r="J6" s="27">
        <v>131.08</v>
      </c>
      <c r="K6" s="28">
        <f t="shared" si="4"/>
        <v>2.670125114</v>
      </c>
      <c r="L6" s="33">
        <f t="shared" si="5"/>
        <v>0.8798697996</v>
      </c>
    </row>
    <row r="7">
      <c r="D7" s="34" t="s">
        <v>12</v>
      </c>
      <c r="E7" s="4"/>
      <c r="F7" s="2" t="s">
        <v>13</v>
      </c>
      <c r="G7" s="3"/>
      <c r="H7" s="3"/>
      <c r="I7" s="3"/>
      <c r="J7" s="3"/>
      <c r="K7" s="4"/>
    </row>
    <row r="8">
      <c r="D8" s="7" t="s">
        <v>14</v>
      </c>
      <c r="E8" s="13" t="s">
        <v>9</v>
      </c>
      <c r="F8" s="10" t="s">
        <v>7</v>
      </c>
      <c r="G8" s="11" t="s">
        <v>8</v>
      </c>
      <c r="H8" s="8" t="s">
        <v>5</v>
      </c>
      <c r="I8" s="12" t="s">
        <v>9</v>
      </c>
      <c r="J8" s="8" t="s">
        <v>14</v>
      </c>
      <c r="K8" s="13" t="s">
        <v>9</v>
      </c>
    </row>
    <row r="9">
      <c r="D9" s="25">
        <v>18.911</v>
      </c>
      <c r="E9" s="24">
        <f t="shared" ref="E9:E12" si="7">D9/E3</f>
        <v>0.4592671429</v>
      </c>
      <c r="F9" s="19">
        <v>327.27</v>
      </c>
      <c r="G9" s="20">
        <v>1383.4</v>
      </c>
      <c r="H9" s="21">
        <f t="shared" ref="H9:H12" si="8">G9/F9</f>
        <v>4.227090781</v>
      </c>
      <c r="I9" s="22">
        <f t="shared" ref="I9:I12" si="9">H9/D3</f>
        <v>0.9946095956</v>
      </c>
      <c r="J9" s="23">
        <v>20.8</v>
      </c>
      <c r="K9" s="24">
        <f t="shared" ref="K9:K12" si="10">J9/E3</f>
        <v>0.5051428571</v>
      </c>
    </row>
    <row r="10">
      <c r="D10" s="25">
        <v>11.719</v>
      </c>
      <c r="E10" s="24">
        <f t="shared" si="7"/>
        <v>0.7366228571</v>
      </c>
      <c r="F10" s="19">
        <v>124.9</v>
      </c>
      <c r="G10" s="20">
        <v>1383.4</v>
      </c>
      <c r="H10" s="21">
        <f t="shared" si="8"/>
        <v>11.07606085</v>
      </c>
      <c r="I10" s="22">
        <f t="shared" si="9"/>
        <v>1.006914623</v>
      </c>
      <c r="J10" s="23">
        <v>11.4</v>
      </c>
      <c r="K10" s="24">
        <f t="shared" si="10"/>
        <v>0.7165714286</v>
      </c>
    </row>
    <row r="11">
      <c r="D11" s="25">
        <v>5.643</v>
      </c>
      <c r="E11" s="24">
        <f t="shared" si="7"/>
        <v>0.9190028571</v>
      </c>
      <c r="F11" s="19">
        <v>49.407</v>
      </c>
      <c r="G11" s="20">
        <v>1399.2</v>
      </c>
      <c r="H11" s="21">
        <f t="shared" si="8"/>
        <v>28.3198737</v>
      </c>
      <c r="I11" s="22">
        <f t="shared" si="9"/>
        <v>0.993679779</v>
      </c>
      <c r="J11" s="23">
        <v>5.5</v>
      </c>
      <c r="K11" s="24">
        <f t="shared" si="10"/>
        <v>0.8957142857</v>
      </c>
    </row>
    <row r="12">
      <c r="D12" s="26">
        <v>2.67</v>
      </c>
      <c r="E12" s="33">
        <f t="shared" si="7"/>
        <v>0.8798285714</v>
      </c>
      <c r="F12" s="30">
        <v>23.557</v>
      </c>
      <c r="G12" s="31">
        <v>1367.6</v>
      </c>
      <c r="H12" s="32">
        <f t="shared" si="8"/>
        <v>58.05493059</v>
      </c>
      <c r="I12" s="35">
        <f t="shared" si="9"/>
        <v>1.0067329</v>
      </c>
      <c r="J12" s="27">
        <v>2.5</v>
      </c>
      <c r="K12" s="33">
        <f t="shared" si="10"/>
        <v>0.8238095238</v>
      </c>
    </row>
    <row r="14">
      <c r="G14" s="21"/>
      <c r="H14" s="36"/>
      <c r="J14" s="37"/>
    </row>
    <row r="15">
      <c r="G15" s="21"/>
      <c r="H15" s="21"/>
      <c r="J15" s="37"/>
    </row>
    <row r="16">
      <c r="G16" s="21"/>
      <c r="H16" s="21"/>
      <c r="J16" s="37"/>
    </row>
    <row r="17">
      <c r="G17" s="21"/>
      <c r="H17" s="21"/>
      <c r="J17" s="37"/>
    </row>
    <row r="18">
      <c r="G18" s="21"/>
      <c r="H18" s="21"/>
    </row>
    <row r="19">
      <c r="G19" s="21"/>
      <c r="H19" s="21"/>
    </row>
    <row r="20">
      <c r="G20" s="21"/>
      <c r="H20" s="21"/>
    </row>
  </sheetData>
  <mergeCells count="5">
    <mergeCell ref="B1:E1"/>
    <mergeCell ref="F1:L1"/>
    <mergeCell ref="A3:A6"/>
    <mergeCell ref="D7:E7"/>
    <mergeCell ref="F7:K7"/>
  </mergeCells>
  <drawing r:id="rId1"/>
</worksheet>
</file>