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<sst xmlns="http://schemas.openxmlformats.org/spreadsheetml/2006/main" count="26" uniqueCount="16">
  <si>
    <t>OP27</t>
  </si>
  <si>
    <t>DATI</t>
  </si>
  <si>
    <t>GRADINO</t>
  </si>
  <si>
    <t>R1 (kOhm)</t>
  </si>
  <si>
    <t>R2 (kOhm)</t>
  </si>
  <si>
    <t>Guadagno</t>
  </si>
  <si>
    <t>Bandwidth (MHz)</t>
  </si>
  <si>
    <t>Amplitude 1 (mV)</t>
  </si>
  <si>
    <t>Amplitude 2 (mV)</t>
  </si>
  <si>
    <t>Stima</t>
  </si>
  <si>
    <t>Fall/rise time (ns)</t>
  </si>
  <si>
    <t>Inv.</t>
  </si>
  <si>
    <t>Non Inv.</t>
  </si>
  <si>
    <t>FFT</t>
  </si>
  <si>
    <t>SINUSOIDE</t>
  </si>
  <si>
    <t>Frequenza taglio (MHz)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</si>
</sst>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 textRotation="90" vertical="center"/>
    </xf>
    <xf borderId="4" fillId="2" fontId="4" numFmtId="0" xfId="0" applyAlignment="1" applyBorder="1" applyFill="1" applyFont="1">
      <alignment readingOrder="0"/>
    </xf>
    <xf borderId="0" fillId="2" fontId="4" numFmtId="0" xfId="0" applyAlignment="1" applyFill="1" applyFont="1">
      <alignment readingOrder="0"/>
    </xf>
    <xf borderId="0" fillId="0" fontId="4" numFmtId="0" xfId="0" applyFont="1"/>
    <xf borderId="5" fillId="0" fontId="4" numFmtId="0" xfId="0" applyBorder="1" applyFont="1"/>
    <xf borderId="0" fillId="3" fontId="4" numFmtId="10" xfId="0" applyAlignment="1" applyFill="1" applyFont="1" applyNumberFormat="1">
      <alignment readingOrder="0"/>
    </xf>
    <xf borderId="5" fillId="0" fontId="4" numFmtId="10" xfId="0" applyBorder="1" applyFont="1" applyNumberFormat="1"/>
    <xf borderId="9" fillId="0" fontId="3" numFmtId="0" xfId="0" applyBorder="1" applyFont="1"/>
    <xf borderId="10" fillId="2" fontId="4" numFmtId="0" xfId="0" applyAlignment="1" applyBorder="1" applyFill="1" applyFont="1">
      <alignment readingOrder="0"/>
    </xf>
    <xf borderId="9" fillId="2" fontId="4" numFmtId="0" xfId="0" applyAlignment="1" applyBorder="1" applyFill="1" applyFont="1">
      <alignment readingOrder="0"/>
    </xf>
    <xf borderId="9" fillId="0" fontId="4" numFmtId="0" xfId="0" applyBorder="1" applyFont="1"/>
    <xf borderId="11" fillId="0" fontId="4" numFmtId="0" xfId="0" applyBorder="1" applyFont="1"/>
    <xf borderId="9" fillId="3" fontId="4" numFmtId="10" xfId="0" applyAlignment="1" applyBorder="1" applyFill="1" applyFont="1" applyNumberFormat="1">
      <alignment readingOrder="0"/>
    </xf>
    <xf borderId="11" fillId="0" fontId="4" numFmtId="10" xfId="0" applyBorder="1" applyFont="1" applyNumberFormat="1"/>
    <xf borderId="12" fillId="2" fontId="4" numFmtId="0" xfId="0" applyAlignment="1" applyBorder="1" applyFill="1" applyFont="1">
      <alignment readingOrder="0"/>
    </xf>
    <xf borderId="13" fillId="2" fontId="4" numFmtId="0" xfId="0" applyAlignment="1" applyBorder="1" applyFill="1" applyFont="1">
      <alignment readingOrder="0"/>
    </xf>
    <xf borderId="13" fillId="0" fontId="4" numFmtId="0" xfId="0" applyBorder="1" applyFont="1"/>
    <xf borderId="14" fillId="0" fontId="4" numFmtId="0" xfId="0" applyBorder="1" applyFont="1"/>
    <xf borderId="14" fillId="0" fontId="4" numFmtId="10" xfId="0" applyBorder="1" applyFont="1" applyNumberFormat="1"/>
    <xf borderId="0" fillId="3" fontId="4" numFmtId="0" xfId="0" applyAlignment="1" applyFill="1" applyFont="1">
      <alignment readingOrder="0"/>
    </xf>
    <xf borderId="9" fillId="3" fontId="4" numFmtId="0" xfId="0" applyAlignment="1" applyBorder="1" applyFill="1" applyFont="1">
      <alignment readingOrder="0"/>
    </xf>
    <xf borderId="13" fillId="3" fontId="4" numFmtId="0" xfId="0" applyAlignment="1" applyBorder="1" applyFill="1" applyFont="1">
      <alignment readingOrder="0"/>
    </xf>
    <xf borderId="13" fillId="3" fontId="4" numFmtId="10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9.5"/>
    <col customWidth="1" min="3" max="3" width="9.38"/>
    <col customWidth="1" min="4" max="4" width="19.38"/>
    <col customWidth="1" min="5" max="5" width="19.5"/>
    <col customWidth="1" min="6" max="6" width="14.88"/>
    <col customWidth="1" min="7" max="7" width="14.75"/>
    <col customWidth="1" min="8" max="8" width="11.63"/>
    <col customWidth="1" min="9" max="10" width="19.38"/>
    <col customWidth="1" min="11" max="12" width="14.63"/>
    <col customWidth="1" min="13" max="15" width="14.75"/>
    <col customWidth="1" min="16" max="17" width="19.25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3"/>
      <c r="J1" s="3"/>
      <c r="K1" s="3"/>
      <c r="L1" s="4"/>
    </row>
    <row r="2">
      <c r="A2" s="6"/>
      <c r="B2" s="7" t="s">
        <v>3</v>
      </c>
      <c r="C2" s="6" t="s">
        <v>4</v>
      </c>
      <c r="D2" s="6" t="s">
        <v>5</v>
      </c>
      <c r="E2" s="8" t="s">
        <v>6</v>
      </c>
      <c r="F2" s="9" t="s">
        <v>7</v>
      </c>
      <c r="G2" s="10" t="s">
        <v>8</v>
      </c>
      <c r="H2" s="10" t="s">
        <v>5</v>
      </c>
      <c r="I2" s="10" t="s">
        <v>9</v>
      </c>
      <c r="J2" s="10" t="s">
        <v>10</v>
      </c>
      <c r="K2" s="6" t="s">
        <v>6</v>
      </c>
      <c r="L2" s="11" t="s">
        <v>9</v>
      </c>
    </row>
    <row r="3">
      <c r="A3" s="12" t="s">
        <v>11</v>
      </c>
      <c r="B3" s="13">
        <v>0.12</v>
      </c>
      <c r="C3" s="14">
        <v>1.2</v>
      </c>
      <c r="D3" s="15">
        <f t="shared" ref="D3:D5" si="1">C3/B3</f>
        <v>10</v>
      </c>
      <c r="E3" s="16">
        <f t="shared" ref="E3:E5" si="2">8/(D3+1)</f>
        <v>0.7272727273</v>
      </c>
      <c r="F3" s="14">
        <v>70.356</v>
      </c>
      <c r="G3" s="14">
        <v>679.84</v>
      </c>
      <c r="H3" s="15">
        <f t="shared" ref="H3:H8" si="3">G3/F3</f>
        <v>9.662857468</v>
      </c>
      <c r="I3" s="17">
        <f t="shared" ref="I3:I8" si="4">H3/D3</f>
        <v>0.9662857468</v>
      </c>
      <c r="J3" s="14">
        <v>422.65</v>
      </c>
      <c r="K3" s="15">
        <f t="shared" ref="K3:K8" si="5">0.35/J3*1000</f>
        <v>0.8281083639</v>
      </c>
      <c r="L3" s="18">
        <f t="shared" ref="L3:L8" si="6">K3/E3</f>
        <v>1.138649</v>
      </c>
    </row>
    <row r="4">
      <c r="B4" s="13">
        <v>1.2</v>
      </c>
      <c r="C4" s="14">
        <v>5.6</v>
      </c>
      <c r="D4" s="15">
        <f t="shared" si="1"/>
        <v>4.666666667</v>
      </c>
      <c r="E4" s="16">
        <f t="shared" si="2"/>
        <v>1.411764706</v>
      </c>
      <c r="F4" s="14">
        <v>19.368</v>
      </c>
      <c r="G4" s="14">
        <v>86.957</v>
      </c>
      <c r="H4" s="15">
        <f t="shared" si="3"/>
        <v>4.48972532</v>
      </c>
      <c r="I4" s="17">
        <f t="shared" si="4"/>
        <v>0.9620839972</v>
      </c>
      <c r="J4" s="14">
        <v>204.8</v>
      </c>
      <c r="K4" s="15">
        <f t="shared" si="5"/>
        <v>1.708984375</v>
      </c>
      <c r="L4" s="18">
        <f t="shared" si="6"/>
        <v>1.210530599</v>
      </c>
    </row>
    <row r="5">
      <c r="A5" s="19"/>
      <c r="B5" s="20">
        <v>1.2</v>
      </c>
      <c r="C5" s="21">
        <v>1.2</v>
      </c>
      <c r="D5" s="22">
        <f t="shared" si="1"/>
        <v>1</v>
      </c>
      <c r="E5" s="23">
        <f t="shared" si="2"/>
        <v>4</v>
      </c>
      <c r="F5" s="20">
        <v>19.13</v>
      </c>
      <c r="G5" s="21">
        <v>19.289</v>
      </c>
      <c r="H5" s="22">
        <f t="shared" si="3"/>
        <v>1.008311553</v>
      </c>
      <c r="I5" s="24">
        <f t="shared" si="4"/>
        <v>1.008311553</v>
      </c>
      <c r="J5" s="21">
        <v>81.29</v>
      </c>
      <c r="K5" s="22">
        <f t="shared" si="5"/>
        <v>4.305572641</v>
      </c>
      <c r="L5" s="25">
        <f t="shared" si="6"/>
        <v>1.07639316</v>
      </c>
    </row>
    <row r="6">
      <c r="A6" s="12" t="s">
        <v>12</v>
      </c>
      <c r="B6" s="13">
        <v>1.2</v>
      </c>
      <c r="C6" s="14">
        <v>1.2</v>
      </c>
      <c r="D6" s="15">
        <f t="shared" ref="D6:D8" si="7">C6/B6+1</f>
        <v>2</v>
      </c>
      <c r="E6" s="16">
        <f t="shared" ref="E6:E8" si="8">8/D6</f>
        <v>4</v>
      </c>
      <c r="F6" s="13">
        <v>19.921</v>
      </c>
      <c r="G6" s="14">
        <v>39.526</v>
      </c>
      <c r="H6" s="15">
        <f t="shared" si="3"/>
        <v>1.984137343</v>
      </c>
      <c r="I6" s="17">
        <f t="shared" si="4"/>
        <v>0.9920686713</v>
      </c>
      <c r="J6" s="14">
        <v>160.0</v>
      </c>
      <c r="K6" s="15">
        <f t="shared" si="5"/>
        <v>2.1875</v>
      </c>
      <c r="L6" s="18">
        <f t="shared" si="6"/>
        <v>0.546875</v>
      </c>
    </row>
    <row r="7">
      <c r="B7" s="13">
        <v>1.2</v>
      </c>
      <c r="C7" s="14">
        <v>5.6</v>
      </c>
      <c r="D7" s="15">
        <f t="shared" si="7"/>
        <v>5.666666667</v>
      </c>
      <c r="E7" s="16">
        <f t="shared" si="8"/>
        <v>1.411764706</v>
      </c>
      <c r="F7" s="13">
        <v>19.793</v>
      </c>
      <c r="G7" s="14">
        <v>109.888</v>
      </c>
      <c r="H7" s="15">
        <f t="shared" si="3"/>
        <v>5.551861769</v>
      </c>
      <c r="I7" s="17">
        <f t="shared" si="4"/>
        <v>0.9797403122</v>
      </c>
      <c r="J7" s="14">
        <v>208.12</v>
      </c>
      <c r="K7" s="15">
        <f t="shared" si="5"/>
        <v>1.681722083</v>
      </c>
      <c r="L7" s="18">
        <f t="shared" si="6"/>
        <v>1.191219809</v>
      </c>
    </row>
    <row r="8">
      <c r="B8" s="26">
        <v>1.2</v>
      </c>
      <c r="C8" s="27">
        <v>8.2</v>
      </c>
      <c r="D8" s="28">
        <f t="shared" si="7"/>
        <v>7.833333333</v>
      </c>
      <c r="E8" s="29">
        <f t="shared" si="8"/>
        <v>1.021276596</v>
      </c>
      <c r="F8" s="26">
        <v>19.684</v>
      </c>
      <c r="G8" s="27">
        <v>151.78</v>
      </c>
      <c r="H8" s="28">
        <f t="shared" si="3"/>
        <v>7.710831132</v>
      </c>
      <c r="I8" s="17">
        <f t="shared" si="4"/>
        <v>0.9843614211</v>
      </c>
      <c r="J8" s="27">
        <v>294.12</v>
      </c>
      <c r="K8" s="15">
        <f t="shared" si="5"/>
        <v>1.18999048</v>
      </c>
      <c r="L8" s="30">
        <f t="shared" si="6"/>
        <v>1.165199012</v>
      </c>
    </row>
    <row r="9">
      <c r="D9" s="2" t="s">
        <v>13</v>
      </c>
      <c r="E9" s="4"/>
      <c r="F9" s="2" t="s">
        <v>14</v>
      </c>
      <c r="G9" s="3"/>
      <c r="H9" s="3"/>
      <c r="I9" s="3"/>
      <c r="J9" s="3"/>
      <c r="K9" s="4"/>
    </row>
    <row r="10">
      <c r="D10" s="9" t="s">
        <v>15</v>
      </c>
      <c r="E10" s="11" t="s">
        <v>9</v>
      </c>
      <c r="F10" s="7" t="s">
        <v>7</v>
      </c>
      <c r="G10" s="6" t="s">
        <v>8</v>
      </c>
      <c r="H10" s="6" t="s">
        <v>5</v>
      </c>
      <c r="I10" s="6" t="s">
        <v>9</v>
      </c>
      <c r="J10" s="6" t="s">
        <v>15</v>
      </c>
      <c r="K10" s="8" t="s">
        <v>9</v>
      </c>
    </row>
    <row r="11">
      <c r="D11" s="13">
        <v>1.0437</v>
      </c>
      <c r="E11" s="18">
        <f t="shared" ref="E11:E16" si="9">D11/E3</f>
        <v>1.4350875</v>
      </c>
      <c r="F11" s="13">
        <v>134.39</v>
      </c>
      <c r="G11" s="14">
        <v>1375.3</v>
      </c>
      <c r="H11" s="31">
        <f t="shared" ref="H11:H16" si="10">G11/F11</f>
        <v>10.23364834</v>
      </c>
      <c r="I11" s="17">
        <f t="shared" ref="I11:I16" si="11">H11/D3</f>
        <v>1.023364834</v>
      </c>
      <c r="J11" s="14">
        <v>1.0</v>
      </c>
      <c r="K11" s="18">
        <f t="shared" ref="K11:K16" si="12">J11/E3</f>
        <v>1.375</v>
      </c>
    </row>
    <row r="12">
      <c r="D12" s="13">
        <v>1.7368</v>
      </c>
      <c r="E12" s="18">
        <f t="shared" si="9"/>
        <v>1.230233333</v>
      </c>
      <c r="F12" s="13">
        <v>18.893</v>
      </c>
      <c r="G12" s="14">
        <v>87.747</v>
      </c>
      <c r="H12" s="31">
        <f t="shared" si="10"/>
        <v>4.644418568</v>
      </c>
      <c r="I12" s="17">
        <f t="shared" si="11"/>
        <v>0.9952325502</v>
      </c>
      <c r="J12" s="14">
        <v>1.72</v>
      </c>
      <c r="K12" s="18">
        <f t="shared" si="12"/>
        <v>1.218333333</v>
      </c>
    </row>
    <row r="13">
      <c r="D13" s="20">
        <v>3.6728</v>
      </c>
      <c r="E13" s="25">
        <f t="shared" si="9"/>
        <v>0.9182</v>
      </c>
      <c r="F13" s="20">
        <v>18.972</v>
      </c>
      <c r="G13" s="21">
        <v>18.814</v>
      </c>
      <c r="H13" s="32">
        <f t="shared" si="10"/>
        <v>0.9916719376</v>
      </c>
      <c r="I13" s="24">
        <f t="shared" si="11"/>
        <v>0.9916719376</v>
      </c>
      <c r="J13" s="21">
        <v>3.67</v>
      </c>
      <c r="K13" s="25">
        <f t="shared" si="12"/>
        <v>0.9175</v>
      </c>
    </row>
    <row r="14">
      <c r="D14" s="13">
        <v>3.3773</v>
      </c>
      <c r="E14" s="18">
        <f t="shared" si="9"/>
        <v>0.844325</v>
      </c>
      <c r="F14" s="13">
        <v>19.605</v>
      </c>
      <c r="G14" s="14">
        <v>39.328</v>
      </c>
      <c r="H14" s="31">
        <f t="shared" si="10"/>
        <v>2.006018873</v>
      </c>
      <c r="I14" s="17">
        <f t="shared" si="11"/>
        <v>1.003009436</v>
      </c>
      <c r="J14" s="14">
        <v>3.47</v>
      </c>
      <c r="K14" s="18">
        <f t="shared" si="12"/>
        <v>0.8675</v>
      </c>
    </row>
    <row r="15">
      <c r="D15" s="13">
        <v>1.597</v>
      </c>
      <c r="E15" s="18">
        <f t="shared" si="9"/>
        <v>1.131208333</v>
      </c>
      <c r="F15" s="13">
        <v>19.605</v>
      </c>
      <c r="G15" s="14">
        <v>110.67</v>
      </c>
      <c r="H15" s="31">
        <f t="shared" si="10"/>
        <v>5.644988523</v>
      </c>
      <c r="I15" s="17">
        <f t="shared" si="11"/>
        <v>0.9961744453</v>
      </c>
      <c r="J15" s="14">
        <v>1.64</v>
      </c>
      <c r="K15" s="18">
        <f t="shared" si="12"/>
        <v>1.161666667</v>
      </c>
    </row>
    <row r="16">
      <c r="D16" s="26">
        <v>1.1015</v>
      </c>
      <c r="E16" s="30">
        <f t="shared" si="9"/>
        <v>1.078552083</v>
      </c>
      <c r="F16" s="26">
        <v>19.605</v>
      </c>
      <c r="G16" s="27">
        <v>151.78</v>
      </c>
      <c r="H16" s="33">
        <f t="shared" si="10"/>
        <v>7.741902576</v>
      </c>
      <c r="I16" s="34">
        <f t="shared" si="11"/>
        <v>0.9883279884</v>
      </c>
      <c r="J16" s="27">
        <v>1.15</v>
      </c>
      <c r="K16" s="30">
        <f t="shared" si="12"/>
        <v>1.126041667</v>
      </c>
    </row>
    <row r="20">
      <c r="C20" s="12"/>
    </row>
    <row r="21">
      <c r="C21" s="12"/>
    </row>
    <row r="22">
      <c r="C22" s="12"/>
    </row>
    <row r="23">
      <c r="C23" s="12"/>
    </row>
    <row r="24">
      <c r="C24" s="12"/>
    </row>
    <row r="25">
      <c r="C25" s="12"/>
    </row>
  </sheetData>
  <mergeCells count="6">
    <mergeCell ref="B1:E1"/>
    <mergeCell ref="F1:L1"/>
    <mergeCell ref="A3:A5"/>
    <mergeCell ref="A6:A8"/>
    <mergeCell ref="D9:E9"/>
    <mergeCell ref="F9:K9"/>
  </mergeCells>
  <drawing r:id="rId1"/>
</worksheet>
</file>